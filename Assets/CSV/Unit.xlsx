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Project_C\Assets\CSV\"/>
    </mc:Choice>
  </mc:AlternateContent>
  <xr:revisionPtr revIDLastSave="0" documentId="13_ncr:1_{DF99BF79-EA5B-4501-88C6-2B55D5EEF0F0}" xr6:coauthVersionLast="47" xr6:coauthVersionMax="47" xr10:uidLastSave="{00000000-0000-0000-0000-000000000000}"/>
  <bookViews>
    <workbookView xWindow="4935" yWindow="4935" windowWidth="28800" windowHeight="15345" xr2:uid="{D4F95642-F667-4BB1-8A94-2F4CA4F2C496}"/>
  </bookViews>
  <sheets>
    <sheet name="U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2" i="1"/>
  <c r="I8" i="1"/>
  <c r="J8" i="1" s="1"/>
  <c r="I15" i="1"/>
  <c r="J15" i="1" s="1"/>
  <c r="I3" i="1"/>
  <c r="I4" i="1"/>
  <c r="I5" i="1"/>
  <c r="J5" i="1" s="1"/>
  <c r="I6" i="1"/>
  <c r="J6" i="1" s="1"/>
  <c r="I7" i="1"/>
  <c r="J7" i="1" s="1"/>
  <c r="I12" i="1"/>
  <c r="J12" i="1" s="1"/>
  <c r="I9" i="1"/>
  <c r="J9" i="1" s="1"/>
  <c r="I13" i="1"/>
  <c r="J13" i="1" s="1"/>
  <c r="I10" i="1"/>
  <c r="J10" i="1" s="1"/>
  <c r="I11" i="1"/>
  <c r="J11" i="1" s="1"/>
  <c r="I14" i="1"/>
  <c r="J14" i="1" s="1"/>
  <c r="I2" i="1"/>
  <c r="J2" i="1" s="1"/>
  <c r="J4" i="1"/>
  <c r="J3" i="1"/>
</calcChain>
</file>

<file path=xl/sharedStrings.xml><?xml version="1.0" encoding="utf-8"?>
<sst xmlns="http://schemas.openxmlformats.org/spreadsheetml/2006/main" count="28" uniqueCount="28">
  <si>
    <t>Name</t>
  </si>
  <si>
    <t>Cost</t>
  </si>
  <si>
    <t>Damage</t>
  </si>
  <si>
    <t>AttackSpeed</t>
  </si>
  <si>
    <t>Speed</t>
  </si>
  <si>
    <t>ImagePath</t>
  </si>
  <si>
    <t>DPS</t>
  </si>
  <si>
    <t>DPS_PerCost</t>
  </si>
  <si>
    <t>Monster</t>
  </si>
  <si>
    <t>Monster1</t>
  </si>
  <si>
    <t>Squirrel</t>
  </si>
  <si>
    <t>Hog</t>
  </si>
  <si>
    <t>Raccoon</t>
  </si>
  <si>
    <t>Bear</t>
    <phoneticPr fontId="18" type="noConversion"/>
  </si>
  <si>
    <t>능력여부</t>
    <phoneticPr fontId="18" type="noConversion"/>
  </si>
  <si>
    <t>x</t>
    <phoneticPr fontId="18" type="noConversion"/>
  </si>
  <si>
    <t>Cat</t>
    <phoneticPr fontId="18" type="noConversion"/>
  </si>
  <si>
    <t>WolfKing</t>
    <phoneticPr fontId="18" type="noConversion"/>
  </si>
  <si>
    <t>WolfBaby</t>
    <phoneticPr fontId="18" type="noConversion"/>
  </si>
  <si>
    <t>Fox</t>
    <phoneticPr fontId="18" type="noConversion"/>
  </si>
  <si>
    <t>Snake</t>
    <phoneticPr fontId="18" type="noConversion"/>
  </si>
  <si>
    <t>Deer</t>
    <phoneticPr fontId="18" type="noConversion"/>
  </si>
  <si>
    <t>Tiger</t>
    <phoneticPr fontId="18" type="noConversion"/>
  </si>
  <si>
    <t>Rabbit</t>
    <phoneticPr fontId="18" type="noConversion"/>
  </si>
  <si>
    <t>상대의 랜덤 몬스터 다른라인으로 이동</t>
    <phoneticPr fontId="18" type="noConversion"/>
  </si>
  <si>
    <t>ability</t>
    <phoneticPr fontId="18" type="noConversion"/>
  </si>
  <si>
    <t>다른필드위에 WolfBaby소환</t>
    <phoneticPr fontId="18" type="noConversion"/>
  </si>
  <si>
    <t>다른필드의 저코스트 모두 흡수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</si>
</sst>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444447"/>
      <name val="맑은 고딕"/>
      <family val="3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9" fillId="0" borderId="0" xfId="0" applyFon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19C08-AEAF-4ACF-8AEE-CB1287A86C70}">
  <dimension ref="A1:J15"/>
  <sheetViews>
    <sheetView tabSelected="1" workbookViewId="0">
      <selection activeCell="I15" sqref="I15"/>
    </sheetView>
  </sheetViews>
  <sheetFormatPr defaultRowHeight="16.5" x14ac:dyDescent="0.3"/>
  <cols>
    <col min="4" max="4" width="12.375" bestFit="1" customWidth="1"/>
    <col min="6" max="6" width="13.75" customWidth="1"/>
    <col min="7" max="7" width="40.875" customWidth="1"/>
    <col min="8" max="8" width="36.625" bestFit="1" customWidth="1"/>
    <col min="9" max="9" width="17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25</v>
      </c>
      <c r="G1" t="s">
        <v>5</v>
      </c>
      <c r="H1" t="s">
        <v>14</v>
      </c>
      <c r="I1" t="s">
        <v>6</v>
      </c>
      <c r="J1" t="s">
        <v>7</v>
      </c>
    </row>
    <row r="2" spans="1:10" x14ac:dyDescent="0.3">
      <c r="A2" t="s">
        <v>8</v>
      </c>
      <c r="B2">
        <v>1</v>
      </c>
      <c r="C2">
        <v>1</v>
      </c>
      <c r="D2">
        <v>1</v>
      </c>
      <c r="E2">
        <v>1</v>
      </c>
      <c r="F2">
        <v>0</v>
      </c>
      <c r="G2" t="str">
        <f>_xlfn.CONCAT("Assets/Images/Unit/",A2,".png")</f>
        <v>Assets/Images/Unit/Monster.png</v>
      </c>
      <c r="I2">
        <f>C2/D2</f>
        <v>1</v>
      </c>
      <c r="J2">
        <f>I2/B2</f>
        <v>1</v>
      </c>
    </row>
    <row r="3" spans="1:10" x14ac:dyDescent="0.3">
      <c r="A3" t="s">
        <v>9</v>
      </c>
      <c r="B3">
        <v>1</v>
      </c>
      <c r="C3">
        <v>2</v>
      </c>
      <c r="D3">
        <v>3</v>
      </c>
      <c r="E3">
        <v>2</v>
      </c>
      <c r="F3">
        <v>0</v>
      </c>
      <c r="G3" t="str">
        <f>_xlfn.CONCAT("Assets/Images/Unit/",A3,".png")</f>
        <v>Assets/Images/Unit/Monster1.png</v>
      </c>
      <c r="I3">
        <f>C3/D3</f>
        <v>0.66666666666666663</v>
      </c>
      <c r="J3">
        <f>I3/B3</f>
        <v>0.66666666666666663</v>
      </c>
    </row>
    <row r="4" spans="1:10" ht="17.25" x14ac:dyDescent="0.3">
      <c r="A4" s="1" t="s">
        <v>10</v>
      </c>
      <c r="B4">
        <v>1</v>
      </c>
      <c r="C4">
        <v>1</v>
      </c>
      <c r="D4">
        <v>1</v>
      </c>
      <c r="E4">
        <v>1</v>
      </c>
      <c r="F4">
        <v>0</v>
      </c>
      <c r="G4" t="str">
        <f>_xlfn.CONCAT("Assets/Images/Unit/",A4,".png")</f>
        <v>Assets/Images/Unit/Squirrel.png</v>
      </c>
      <c r="I4">
        <f>C4/D4</f>
        <v>1</v>
      </c>
      <c r="J4">
        <f>I4/B4</f>
        <v>1</v>
      </c>
    </row>
    <row r="5" spans="1:10" x14ac:dyDescent="0.3">
      <c r="A5" t="s">
        <v>11</v>
      </c>
      <c r="B5">
        <v>1</v>
      </c>
      <c r="C5">
        <v>2</v>
      </c>
      <c r="D5">
        <v>1.5</v>
      </c>
      <c r="E5">
        <v>0.5</v>
      </c>
      <c r="F5">
        <v>0</v>
      </c>
      <c r="G5" t="str">
        <f>_xlfn.CONCAT("Assets/Images/Unit/",A5,".png")</f>
        <v>Assets/Images/Unit/Hog.png</v>
      </c>
      <c r="I5">
        <f>C5/D5</f>
        <v>1.3333333333333333</v>
      </c>
      <c r="J5">
        <f>I5/B5</f>
        <v>1.3333333333333333</v>
      </c>
    </row>
    <row r="6" spans="1:10" x14ac:dyDescent="0.3">
      <c r="A6" t="s">
        <v>18</v>
      </c>
      <c r="B6">
        <v>1</v>
      </c>
      <c r="C6">
        <v>2</v>
      </c>
      <c r="D6">
        <v>1</v>
      </c>
      <c r="E6">
        <v>1.5</v>
      </c>
      <c r="F6">
        <v>0</v>
      </c>
      <c r="G6" t="str">
        <f>_xlfn.CONCAT("Assets/Images/Unit/",A6,".png")</f>
        <v>Assets/Images/Unit/WolfBaby.png</v>
      </c>
      <c r="I6">
        <f>C6/D6</f>
        <v>2</v>
      </c>
      <c r="J6">
        <f>I6/B6</f>
        <v>2</v>
      </c>
    </row>
    <row r="7" spans="1:10" x14ac:dyDescent="0.3">
      <c r="A7" t="s">
        <v>12</v>
      </c>
      <c r="B7">
        <v>2</v>
      </c>
      <c r="C7">
        <v>4</v>
      </c>
      <c r="D7">
        <v>1</v>
      </c>
      <c r="E7">
        <v>1.2</v>
      </c>
      <c r="F7">
        <v>0</v>
      </c>
      <c r="G7" t="str">
        <f>_xlfn.CONCAT("Assets/Images/Unit/",A7,".png")</f>
        <v>Assets/Images/Unit/Raccoon.png</v>
      </c>
      <c r="I7">
        <f>C7/D7</f>
        <v>4</v>
      </c>
      <c r="J7">
        <f>I7/B7</f>
        <v>2</v>
      </c>
    </row>
    <row r="8" spans="1:10" x14ac:dyDescent="0.3">
      <c r="A8" t="s">
        <v>23</v>
      </c>
      <c r="B8">
        <v>2</v>
      </c>
      <c r="C8">
        <v>2</v>
      </c>
      <c r="D8">
        <v>1</v>
      </c>
      <c r="E8">
        <v>1</v>
      </c>
      <c r="F8">
        <v>1</v>
      </c>
      <c r="G8" t="str">
        <f>_xlfn.CONCAT("Assets/Images/Unit/",A8,".png")</f>
        <v>Assets/Images/Unit/Rabbit.png</v>
      </c>
      <c r="H8" t="s">
        <v>24</v>
      </c>
      <c r="I8">
        <f>C8/D8</f>
        <v>2</v>
      </c>
      <c r="J8">
        <f>I8/B8</f>
        <v>1</v>
      </c>
    </row>
    <row r="9" spans="1:10" x14ac:dyDescent="0.3">
      <c r="A9" t="s">
        <v>16</v>
      </c>
      <c r="B9">
        <v>3</v>
      </c>
      <c r="C9">
        <v>3</v>
      </c>
      <c r="D9">
        <v>0.5</v>
      </c>
      <c r="E9">
        <v>2</v>
      </c>
      <c r="F9">
        <v>2</v>
      </c>
      <c r="G9" t="str">
        <f>_xlfn.CONCAT("Assets/Images/Unit/",A9,".png")</f>
        <v>Assets/Images/Unit/Cat.png</v>
      </c>
      <c r="H9" t="str">
        <f>_xlfn.CONCAT("현재 필드위에 공격력 버프 +",F9)</f>
        <v>현재 필드위에 공격력 버프 +2</v>
      </c>
      <c r="I9">
        <f>C9/D9</f>
        <v>6</v>
      </c>
      <c r="J9">
        <f>I9/B9</f>
        <v>2</v>
      </c>
    </row>
    <row r="10" spans="1:10" x14ac:dyDescent="0.3">
      <c r="A10" t="s">
        <v>19</v>
      </c>
      <c r="B10">
        <v>3</v>
      </c>
      <c r="C10">
        <v>7</v>
      </c>
      <c r="D10">
        <v>1</v>
      </c>
      <c r="E10">
        <v>1.5</v>
      </c>
      <c r="F10">
        <v>0</v>
      </c>
      <c r="G10" t="str">
        <f>_xlfn.CONCAT("Assets/Images/Unit/",A10,".png")</f>
        <v>Assets/Images/Unit/Fox.png</v>
      </c>
      <c r="I10">
        <f>C10/D10</f>
        <v>7</v>
      </c>
      <c r="J10">
        <f>I10/B10</f>
        <v>2.3333333333333335</v>
      </c>
    </row>
    <row r="11" spans="1:10" x14ac:dyDescent="0.3">
      <c r="A11" t="s">
        <v>20</v>
      </c>
      <c r="B11">
        <v>3</v>
      </c>
      <c r="C11">
        <v>3</v>
      </c>
      <c r="D11">
        <v>1</v>
      </c>
      <c r="E11">
        <v>1.5</v>
      </c>
      <c r="F11">
        <v>2</v>
      </c>
      <c r="G11" t="str">
        <f>_xlfn.CONCAT("Assets/Images/Unit/",A11,".png")</f>
        <v>Assets/Images/Unit/Snake.png</v>
      </c>
      <c r="H11" t="str">
        <f>_xlfn.CONCAT("디버프 상대 라인 공격력 저하 -",F11)</f>
        <v>디버프 상대 라인 공격력 저하 -2</v>
      </c>
      <c r="I11">
        <f>C11/D11</f>
        <v>3</v>
      </c>
      <c r="J11">
        <f>I11/B11</f>
        <v>1</v>
      </c>
    </row>
    <row r="12" spans="1:10" x14ac:dyDescent="0.3">
      <c r="A12" t="s">
        <v>13</v>
      </c>
      <c r="B12">
        <v>4</v>
      </c>
      <c r="C12">
        <v>18</v>
      </c>
      <c r="D12">
        <v>2</v>
      </c>
      <c r="E12">
        <v>1.5</v>
      </c>
      <c r="F12">
        <v>0</v>
      </c>
      <c r="G12" t="str">
        <f>_xlfn.CONCAT("Assets/Images/Unit/",A12,".png")</f>
        <v>Assets/Images/Unit/Bear.png</v>
      </c>
      <c r="H12" t="s">
        <v>15</v>
      </c>
      <c r="I12">
        <f>C12/D12</f>
        <v>9</v>
      </c>
      <c r="J12">
        <f>I12/B12</f>
        <v>2.25</v>
      </c>
    </row>
    <row r="13" spans="1:10" x14ac:dyDescent="0.3">
      <c r="A13" t="s">
        <v>17</v>
      </c>
      <c r="B13">
        <v>4</v>
      </c>
      <c r="C13">
        <v>9</v>
      </c>
      <c r="D13">
        <v>1</v>
      </c>
      <c r="E13">
        <v>2</v>
      </c>
      <c r="F13">
        <v>0</v>
      </c>
      <c r="G13" t="str">
        <f>_xlfn.CONCAT("Assets/Images/Unit/",A13,".png")</f>
        <v>Assets/Images/Unit/WolfKing.png</v>
      </c>
      <c r="H13" t="s">
        <v>26</v>
      </c>
      <c r="I13">
        <f>C13/D13</f>
        <v>9</v>
      </c>
      <c r="J13">
        <f>I13/B13</f>
        <v>2.25</v>
      </c>
    </row>
    <row r="14" spans="1:10" x14ac:dyDescent="0.3">
      <c r="A14" t="s">
        <v>21</v>
      </c>
      <c r="B14">
        <v>6</v>
      </c>
      <c r="C14">
        <v>6</v>
      </c>
      <c r="D14">
        <v>0.5</v>
      </c>
      <c r="E14">
        <v>2</v>
      </c>
      <c r="F14">
        <v>0</v>
      </c>
      <c r="G14" t="str">
        <f>_xlfn.CONCAT("Assets/Images/Unit/",A14,".png")</f>
        <v>Assets/Images/Unit/Deer.png</v>
      </c>
      <c r="I14">
        <f>C14/D14</f>
        <v>12</v>
      </c>
      <c r="J14">
        <f>I14/B14</f>
        <v>2</v>
      </c>
    </row>
    <row r="15" spans="1:10" x14ac:dyDescent="0.3">
      <c r="A15" t="s">
        <v>22</v>
      </c>
      <c r="B15">
        <v>8</v>
      </c>
      <c r="C15">
        <v>9</v>
      </c>
      <c r="D15">
        <v>0.7</v>
      </c>
      <c r="E15">
        <v>2</v>
      </c>
      <c r="F15">
        <v>0</v>
      </c>
      <c r="G15" t="str">
        <f>_xlfn.CONCAT("Assets/Images/Unit/",A15,".png")</f>
        <v>Assets/Images/Unit/Tiger.png</v>
      </c>
      <c r="H15" t="s">
        <v>27</v>
      </c>
      <c r="I15">
        <f>C15/D15</f>
        <v>12.857142857142858</v>
      </c>
      <c r="J15">
        <f>I15/B15</f>
        <v>1.6071428571428572</v>
      </c>
    </row>
  </sheetData>
  <sortState xmlns:xlrd2="http://schemas.microsoft.com/office/spreadsheetml/2017/richdata2" ref="A2:I15">
    <sortCondition ref="B1:B15"/>
  </sortState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정래규</cp:lastModifiedBy>
  <dcterms:created xsi:type="dcterms:W3CDTF">2025-09-15T10:04:50Z</dcterms:created>
  <dcterms:modified xsi:type="dcterms:W3CDTF">2025-09-17T07:03:39Z</dcterms:modified>
</cp:coreProperties>
</file>